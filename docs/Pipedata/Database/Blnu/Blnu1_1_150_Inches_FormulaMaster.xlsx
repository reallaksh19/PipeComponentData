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" windowWidth="28650" windowHeight="14745"/>
  </bookViews>
  <sheets>
    <sheet name="Blnu1_1_150_Inches" sheetId="1" r:id="rId1"/>
  </sheets>
  <calcPr calcId="0"/>
</workbook>
</file>

<file path=xl/calcChain.xml><?xml version="1.0" encoding="utf-8"?>
<calcChain xmlns="http://schemas.openxmlformats.org/spreadsheetml/2006/main">
  <c r="Z4" i="1" l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3" i="1"/>
  <c r="Z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3" i="1"/>
  <c r="Y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3" i="1"/>
  <c r="X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3" i="1"/>
  <c r="W3" i="1"/>
</calcChain>
</file>

<file path=xl/sharedStrings.xml><?xml version="1.0" encoding="utf-8"?>
<sst xmlns="http://schemas.openxmlformats.org/spreadsheetml/2006/main" count="132" uniqueCount="33">
  <si>
    <t>ID</t>
  </si>
  <si>
    <t>OD</t>
  </si>
  <si>
    <t>CRS</t>
  </si>
  <si>
    <t>THK</t>
  </si>
  <si>
    <t>WEB WID</t>
  </si>
  <si>
    <t>WebThk</t>
  </si>
  <si>
    <t>Note1</t>
  </si>
  <si>
    <t>Note2</t>
  </si>
  <si>
    <t>Hole Dia</t>
  </si>
  <si>
    <t>Kg</t>
  </si>
  <si>
    <t>Blank kg</t>
  </si>
  <si>
    <t>Spacer kg</t>
  </si>
  <si>
    <t>PADDLE BLANK</t>
  </si>
  <si>
    <t>PADDLE SPACER</t>
  </si>
  <si>
    <t>bolt size unc</t>
  </si>
  <si>
    <t>iso sb size</t>
  </si>
  <si>
    <t>rf sb length</t>
  </si>
  <si>
    <t>rtj sb len</t>
  </si>
  <si>
    <t>Gasket thk</t>
  </si>
  <si>
    <t>RF Thk</t>
  </si>
  <si>
    <t>FF Bolt Len</t>
  </si>
  <si>
    <t>RF Bolt Len</t>
  </si>
  <si>
    <t>0+1/2</t>
  </si>
  <si>
    <t>Optional Raised Face</t>
  </si>
  <si>
    <t>N/A</t>
  </si>
  <si>
    <t>0+3/4</t>
  </si>
  <si>
    <t>1+1/4</t>
  </si>
  <si>
    <t>1+1/2</t>
  </si>
  <si>
    <t>0+5/8</t>
  </si>
  <si>
    <t>2+1/2</t>
  </si>
  <si>
    <t>3+1/2</t>
  </si>
  <si>
    <t>0+7/8</t>
  </si>
  <si>
    <t>1+1/8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</si>
</sst>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"/>
  <sheetViews>
    <sheetView tabSelected="1" workbookViewId="0">
      <selection activeCell="N26" sqref="N26"/>
    </sheetView>
  </sheetViews>
  <sheetFormatPr defaultRowHeight="15" x14ac:dyDescent="0.25"/>
  <cols>
    <col min="26" max="26" width="11.85546875" customWidth="1"/>
  </cols>
  <sheetData>
    <row r="1" spans="1:26" x14ac:dyDescent="0.25">
      <c r="A1">
        <v>24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</row>
    <row r="2" spans="1:26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</row>
    <row r="3" spans="1:26" x14ac:dyDescent="0.25">
      <c r="A3" t="s">
        <v>22</v>
      </c>
      <c r="B3">
        <v>15</v>
      </c>
      <c r="C3">
        <v>0.62</v>
      </c>
      <c r="D3">
        <v>1.75</v>
      </c>
      <c r="E3">
        <v>2.38</v>
      </c>
      <c r="F3">
        <v>0.12</v>
      </c>
      <c r="G3">
        <v>1.5</v>
      </c>
      <c r="H3">
        <v>0.08</v>
      </c>
      <c r="I3" t="s">
        <v>23</v>
      </c>
      <c r="J3">
        <v>0.5</v>
      </c>
      <c r="K3">
        <v>0.625</v>
      </c>
      <c r="L3">
        <v>7.0000000000000007E-2</v>
      </c>
      <c r="M3">
        <v>0.03</v>
      </c>
      <c r="N3">
        <v>0.03</v>
      </c>
      <c r="O3" t="s">
        <v>12</v>
      </c>
      <c r="P3" t="s">
        <v>13</v>
      </c>
      <c r="Q3" t="s">
        <v>22</v>
      </c>
      <c r="R3">
        <v>14</v>
      </c>
      <c r="S3">
        <v>2.25</v>
      </c>
      <c r="T3" t="s">
        <v>24</v>
      </c>
      <c r="U3">
        <v>0.13</v>
      </c>
      <c r="V3">
        <v>0.06</v>
      </c>
      <c r="W3">
        <f>S3+F3+U3</f>
        <v>2.5</v>
      </c>
      <c r="X3">
        <f>S3+F3+U3+(V3*2)</f>
        <v>2.62</v>
      </c>
      <c r="Y3">
        <f>((INT(W3/0.25))*0.25)+0.25</f>
        <v>2.75</v>
      </c>
      <c r="Z3">
        <f>((INT(X3/0.25))*0.25)+0.25</f>
        <v>2.75</v>
      </c>
    </row>
    <row r="4" spans="1:26" x14ac:dyDescent="0.25">
      <c r="A4" t="s">
        <v>25</v>
      </c>
      <c r="B4">
        <v>20</v>
      </c>
      <c r="C4">
        <v>0.82</v>
      </c>
      <c r="D4">
        <v>2.12</v>
      </c>
      <c r="E4">
        <v>2.75</v>
      </c>
      <c r="F4">
        <v>0.12</v>
      </c>
      <c r="G4">
        <v>1.5</v>
      </c>
      <c r="H4">
        <v>0.08</v>
      </c>
      <c r="I4" t="s">
        <v>23</v>
      </c>
      <c r="J4">
        <v>0.5</v>
      </c>
      <c r="K4">
        <v>0.625</v>
      </c>
      <c r="L4">
        <v>0.1</v>
      </c>
      <c r="M4">
        <v>0.05</v>
      </c>
      <c r="N4">
        <v>0.04</v>
      </c>
      <c r="O4" t="s">
        <v>12</v>
      </c>
      <c r="P4" t="s">
        <v>13</v>
      </c>
      <c r="Q4" t="s">
        <v>22</v>
      </c>
      <c r="R4">
        <v>14</v>
      </c>
      <c r="S4">
        <v>2.5</v>
      </c>
      <c r="T4" t="s">
        <v>24</v>
      </c>
      <c r="U4">
        <v>0.13</v>
      </c>
      <c r="V4">
        <v>0.06</v>
      </c>
      <c r="W4">
        <f t="shared" ref="W4:W23" si="0">S4+F4+U4</f>
        <v>2.75</v>
      </c>
      <c r="X4">
        <f t="shared" ref="X4:X23" si="1">S4+F4+U4+(V4*2)</f>
        <v>2.87</v>
      </c>
      <c r="Y4">
        <f t="shared" ref="Y4:Y23" si="2">((INT(W4/0.25))*0.25)+0.25</f>
        <v>3</v>
      </c>
      <c r="Z4">
        <f t="shared" ref="Z4:Z23" si="3">((INT(X4/0.25))*0.25)+0.25</f>
        <v>3</v>
      </c>
    </row>
    <row r="5" spans="1:26" x14ac:dyDescent="0.25">
      <c r="A5">
        <v>1</v>
      </c>
      <c r="B5">
        <v>25</v>
      </c>
      <c r="C5">
        <v>1.05</v>
      </c>
      <c r="D5">
        <v>2.5</v>
      </c>
      <c r="E5">
        <v>3.12</v>
      </c>
      <c r="F5">
        <v>0.12</v>
      </c>
      <c r="G5">
        <v>1.5</v>
      </c>
      <c r="H5">
        <v>0.08</v>
      </c>
      <c r="I5" t="s">
        <v>23</v>
      </c>
      <c r="J5">
        <v>0.5</v>
      </c>
      <c r="K5">
        <v>0.625</v>
      </c>
      <c r="L5">
        <v>0.14000000000000001</v>
      </c>
      <c r="M5">
        <v>7.0000000000000007E-2</v>
      </c>
      <c r="N5">
        <v>0.06</v>
      </c>
      <c r="O5" t="s">
        <v>12</v>
      </c>
      <c r="P5" t="s">
        <v>13</v>
      </c>
      <c r="Q5" t="s">
        <v>22</v>
      </c>
      <c r="R5">
        <v>14</v>
      </c>
      <c r="S5">
        <v>2.5</v>
      </c>
      <c r="T5">
        <v>3</v>
      </c>
      <c r="U5">
        <v>0.13</v>
      </c>
      <c r="V5">
        <v>0.06</v>
      </c>
      <c r="W5">
        <f t="shared" si="0"/>
        <v>2.75</v>
      </c>
      <c r="X5">
        <f t="shared" si="1"/>
        <v>2.87</v>
      </c>
      <c r="Y5">
        <f t="shared" si="2"/>
        <v>3</v>
      </c>
      <c r="Z5">
        <f t="shared" si="3"/>
        <v>3</v>
      </c>
    </row>
    <row r="6" spans="1:26" x14ac:dyDescent="0.25">
      <c r="A6" t="s">
        <v>26</v>
      </c>
      <c r="B6">
        <v>32</v>
      </c>
      <c r="C6">
        <v>1.66</v>
      </c>
      <c r="D6">
        <v>2.88</v>
      </c>
      <c r="E6">
        <v>3.5</v>
      </c>
      <c r="F6">
        <v>0.25</v>
      </c>
      <c r="G6">
        <v>1.5</v>
      </c>
      <c r="H6">
        <v>0.15</v>
      </c>
      <c r="I6" t="s">
        <v>23</v>
      </c>
      <c r="J6">
        <v>0.5</v>
      </c>
      <c r="K6">
        <v>0.625</v>
      </c>
      <c r="L6">
        <v>0.35</v>
      </c>
      <c r="M6">
        <v>0.21</v>
      </c>
      <c r="N6">
        <v>0.14000000000000001</v>
      </c>
      <c r="O6" t="s">
        <v>12</v>
      </c>
      <c r="P6" t="s">
        <v>13</v>
      </c>
      <c r="Q6" t="s">
        <v>22</v>
      </c>
      <c r="R6">
        <v>14</v>
      </c>
      <c r="S6">
        <v>2.75</v>
      </c>
      <c r="T6">
        <v>3.25</v>
      </c>
      <c r="U6">
        <v>0.13</v>
      </c>
      <c r="V6">
        <v>0.06</v>
      </c>
      <c r="W6">
        <f t="shared" si="0"/>
        <v>3.13</v>
      </c>
      <c r="X6">
        <f t="shared" si="1"/>
        <v>3.25</v>
      </c>
      <c r="Y6">
        <f t="shared" si="2"/>
        <v>3.25</v>
      </c>
      <c r="Z6">
        <f t="shared" si="3"/>
        <v>3.5</v>
      </c>
    </row>
    <row r="7" spans="1:26" x14ac:dyDescent="0.25">
      <c r="A7" t="s">
        <v>27</v>
      </c>
      <c r="B7">
        <v>40</v>
      </c>
      <c r="C7">
        <v>1.9</v>
      </c>
      <c r="D7">
        <v>3.25</v>
      </c>
      <c r="E7">
        <v>3.88</v>
      </c>
      <c r="F7">
        <v>0.25</v>
      </c>
      <c r="G7">
        <v>1.5</v>
      </c>
      <c r="H7">
        <v>0.15</v>
      </c>
      <c r="I7" t="s">
        <v>23</v>
      </c>
      <c r="J7">
        <v>0.5</v>
      </c>
      <c r="K7">
        <v>0.625</v>
      </c>
      <c r="L7">
        <v>0.46</v>
      </c>
      <c r="M7">
        <v>0.27</v>
      </c>
      <c r="N7">
        <v>0.18</v>
      </c>
      <c r="O7" t="s">
        <v>12</v>
      </c>
      <c r="P7" t="s">
        <v>13</v>
      </c>
      <c r="Q7" t="s">
        <v>22</v>
      </c>
      <c r="R7">
        <v>14</v>
      </c>
      <c r="S7">
        <v>2.75</v>
      </c>
      <c r="T7">
        <v>3.25</v>
      </c>
      <c r="U7">
        <v>0.13</v>
      </c>
      <c r="V7">
        <v>0.06</v>
      </c>
      <c r="W7">
        <f t="shared" si="0"/>
        <v>3.13</v>
      </c>
      <c r="X7">
        <f t="shared" si="1"/>
        <v>3.25</v>
      </c>
      <c r="Y7">
        <f t="shared" si="2"/>
        <v>3.25</v>
      </c>
      <c r="Z7">
        <f t="shared" si="3"/>
        <v>3.5</v>
      </c>
    </row>
    <row r="8" spans="1:26" x14ac:dyDescent="0.25">
      <c r="A8">
        <v>2</v>
      </c>
      <c r="B8">
        <v>50</v>
      </c>
      <c r="C8">
        <v>2.38</v>
      </c>
      <c r="D8">
        <v>4</v>
      </c>
      <c r="E8">
        <v>4.75</v>
      </c>
      <c r="F8">
        <v>0.25</v>
      </c>
      <c r="G8">
        <v>2</v>
      </c>
      <c r="H8">
        <v>0.15</v>
      </c>
      <c r="I8" t="s">
        <v>23</v>
      </c>
      <c r="J8">
        <v>0.5</v>
      </c>
      <c r="K8">
        <v>0.75</v>
      </c>
      <c r="L8">
        <v>0.68</v>
      </c>
      <c r="M8">
        <v>0.41</v>
      </c>
      <c r="N8">
        <v>0.26</v>
      </c>
      <c r="O8" t="s">
        <v>12</v>
      </c>
      <c r="P8" t="s">
        <v>13</v>
      </c>
      <c r="Q8" t="s">
        <v>28</v>
      </c>
      <c r="R8">
        <v>16</v>
      </c>
      <c r="S8">
        <v>3.25</v>
      </c>
      <c r="T8">
        <v>3.75</v>
      </c>
      <c r="U8">
        <v>0.13</v>
      </c>
      <c r="V8">
        <v>0.06</v>
      </c>
      <c r="W8">
        <f t="shared" si="0"/>
        <v>3.63</v>
      </c>
      <c r="X8">
        <f t="shared" si="1"/>
        <v>3.75</v>
      </c>
      <c r="Y8">
        <f t="shared" si="2"/>
        <v>3.75</v>
      </c>
      <c r="Z8">
        <f t="shared" si="3"/>
        <v>4</v>
      </c>
    </row>
    <row r="9" spans="1:26" x14ac:dyDescent="0.25">
      <c r="A9" t="s">
        <v>29</v>
      </c>
      <c r="B9">
        <v>65</v>
      </c>
      <c r="C9">
        <v>2.88</v>
      </c>
      <c r="D9">
        <v>4.75</v>
      </c>
      <c r="E9">
        <v>5.5</v>
      </c>
      <c r="F9">
        <v>0.25</v>
      </c>
      <c r="G9">
        <v>2</v>
      </c>
      <c r="H9">
        <v>0.15</v>
      </c>
      <c r="I9" t="s">
        <v>23</v>
      </c>
      <c r="J9">
        <v>0.5</v>
      </c>
      <c r="K9">
        <v>0.75</v>
      </c>
      <c r="L9">
        <v>0.7</v>
      </c>
      <c r="M9">
        <v>0.46</v>
      </c>
      <c r="N9">
        <v>0.24</v>
      </c>
      <c r="O9" t="s">
        <v>12</v>
      </c>
      <c r="P9" t="s">
        <v>13</v>
      </c>
      <c r="Q9" t="s">
        <v>28</v>
      </c>
      <c r="R9">
        <v>16</v>
      </c>
      <c r="S9">
        <v>3.5</v>
      </c>
      <c r="T9">
        <v>4</v>
      </c>
      <c r="U9">
        <v>0.13</v>
      </c>
      <c r="V9">
        <v>0.06</v>
      </c>
      <c r="W9">
        <f t="shared" si="0"/>
        <v>3.88</v>
      </c>
      <c r="X9">
        <f t="shared" si="1"/>
        <v>4</v>
      </c>
      <c r="Y9">
        <f t="shared" si="2"/>
        <v>4</v>
      </c>
      <c r="Z9">
        <f t="shared" si="3"/>
        <v>4.25</v>
      </c>
    </row>
    <row r="10" spans="1:26" x14ac:dyDescent="0.25">
      <c r="A10">
        <v>3</v>
      </c>
      <c r="B10">
        <v>80</v>
      </c>
      <c r="C10">
        <v>3.5</v>
      </c>
      <c r="D10">
        <v>5.25</v>
      </c>
      <c r="E10">
        <v>6</v>
      </c>
      <c r="F10">
        <v>0.25</v>
      </c>
      <c r="G10">
        <v>2.5</v>
      </c>
      <c r="H10">
        <v>0.15</v>
      </c>
      <c r="I10" t="s">
        <v>23</v>
      </c>
      <c r="J10">
        <v>0.5</v>
      </c>
      <c r="K10">
        <v>0.75</v>
      </c>
      <c r="L10">
        <v>1.1000000000000001</v>
      </c>
      <c r="M10">
        <v>0.71</v>
      </c>
      <c r="N10">
        <v>0.39</v>
      </c>
      <c r="O10" t="s">
        <v>12</v>
      </c>
      <c r="P10" t="s">
        <v>13</v>
      </c>
      <c r="Q10" t="s">
        <v>28</v>
      </c>
      <c r="R10">
        <v>16</v>
      </c>
      <c r="S10">
        <v>3.5</v>
      </c>
      <c r="T10">
        <v>4</v>
      </c>
      <c r="U10">
        <v>0.13</v>
      </c>
      <c r="V10">
        <v>0.06</v>
      </c>
      <c r="W10">
        <f t="shared" si="0"/>
        <v>3.88</v>
      </c>
      <c r="X10">
        <f t="shared" si="1"/>
        <v>4</v>
      </c>
      <c r="Y10">
        <f t="shared" si="2"/>
        <v>4</v>
      </c>
      <c r="Z10">
        <f t="shared" si="3"/>
        <v>4.25</v>
      </c>
    </row>
    <row r="11" spans="1:26" x14ac:dyDescent="0.25">
      <c r="A11" t="s">
        <v>30</v>
      </c>
      <c r="B11">
        <v>90</v>
      </c>
      <c r="C11">
        <v>4</v>
      </c>
      <c r="D11">
        <v>6.25</v>
      </c>
      <c r="E11">
        <v>7</v>
      </c>
      <c r="F11">
        <v>0.38</v>
      </c>
      <c r="G11">
        <v>2.5</v>
      </c>
      <c r="H11">
        <v>0.19</v>
      </c>
      <c r="I11" t="s">
        <v>23</v>
      </c>
      <c r="J11">
        <v>0.5</v>
      </c>
      <c r="K11">
        <v>0.75</v>
      </c>
      <c r="L11">
        <v>2.44</v>
      </c>
      <c r="M11">
        <v>1.54</v>
      </c>
      <c r="N11">
        <v>0.9</v>
      </c>
      <c r="O11" t="s">
        <v>12</v>
      </c>
      <c r="P11" t="s">
        <v>13</v>
      </c>
      <c r="Q11" t="s">
        <v>28</v>
      </c>
      <c r="R11">
        <v>16</v>
      </c>
      <c r="S11">
        <v>3.5</v>
      </c>
      <c r="T11">
        <v>4</v>
      </c>
      <c r="U11">
        <v>0.13</v>
      </c>
      <c r="V11">
        <v>0.06</v>
      </c>
      <c r="W11">
        <f t="shared" si="0"/>
        <v>4.01</v>
      </c>
      <c r="X11">
        <f t="shared" si="1"/>
        <v>4.13</v>
      </c>
      <c r="Y11">
        <f t="shared" si="2"/>
        <v>4.25</v>
      </c>
      <c r="Z11">
        <f t="shared" si="3"/>
        <v>4.25</v>
      </c>
    </row>
    <row r="12" spans="1:26" x14ac:dyDescent="0.25">
      <c r="A12">
        <v>4</v>
      </c>
      <c r="B12">
        <v>100</v>
      </c>
      <c r="C12">
        <v>4.5</v>
      </c>
      <c r="D12">
        <v>6.75</v>
      </c>
      <c r="E12">
        <v>7.5</v>
      </c>
      <c r="F12">
        <v>0.38</v>
      </c>
      <c r="G12">
        <v>2.5</v>
      </c>
      <c r="H12">
        <v>0.19</v>
      </c>
      <c r="I12" t="s">
        <v>23</v>
      </c>
      <c r="J12">
        <v>0.5</v>
      </c>
      <c r="K12">
        <v>0.75</v>
      </c>
      <c r="L12">
        <v>2.81</v>
      </c>
      <c r="M12">
        <v>1.8</v>
      </c>
      <c r="N12">
        <v>1.01</v>
      </c>
      <c r="O12" t="s">
        <v>12</v>
      </c>
      <c r="P12" t="s">
        <v>13</v>
      </c>
      <c r="Q12" t="s">
        <v>28</v>
      </c>
      <c r="R12">
        <v>16</v>
      </c>
      <c r="S12">
        <v>3.5</v>
      </c>
      <c r="T12">
        <v>4</v>
      </c>
      <c r="U12">
        <v>0.13</v>
      </c>
      <c r="V12">
        <v>0.06</v>
      </c>
      <c r="W12">
        <f t="shared" si="0"/>
        <v>4.01</v>
      </c>
      <c r="X12">
        <f t="shared" si="1"/>
        <v>4.13</v>
      </c>
      <c r="Y12">
        <f t="shared" si="2"/>
        <v>4.25</v>
      </c>
      <c r="Z12">
        <f t="shared" si="3"/>
        <v>4.25</v>
      </c>
    </row>
    <row r="13" spans="1:26" x14ac:dyDescent="0.25">
      <c r="A13">
        <v>5</v>
      </c>
      <c r="B13">
        <v>130</v>
      </c>
      <c r="C13">
        <v>5.56</v>
      </c>
      <c r="D13">
        <v>7.62</v>
      </c>
      <c r="E13">
        <v>8.5</v>
      </c>
      <c r="F13">
        <v>0.38</v>
      </c>
      <c r="G13">
        <v>3</v>
      </c>
      <c r="H13">
        <v>0.19</v>
      </c>
      <c r="I13" t="s">
        <v>23</v>
      </c>
      <c r="J13">
        <v>0.5</v>
      </c>
      <c r="K13">
        <v>0.875</v>
      </c>
      <c r="L13">
        <v>3.37</v>
      </c>
      <c r="M13">
        <v>2.29</v>
      </c>
      <c r="N13">
        <v>1.08</v>
      </c>
      <c r="O13" t="s">
        <v>12</v>
      </c>
      <c r="P13" t="s">
        <v>13</v>
      </c>
      <c r="Q13" t="s">
        <v>25</v>
      </c>
      <c r="R13">
        <v>20</v>
      </c>
      <c r="S13">
        <v>3.75</v>
      </c>
      <c r="T13">
        <v>4.25</v>
      </c>
      <c r="U13">
        <v>0.13</v>
      </c>
      <c r="V13">
        <v>0.06</v>
      </c>
      <c r="W13">
        <f t="shared" si="0"/>
        <v>4.26</v>
      </c>
      <c r="X13">
        <f t="shared" si="1"/>
        <v>4.38</v>
      </c>
      <c r="Y13">
        <f t="shared" si="2"/>
        <v>4.5</v>
      </c>
      <c r="Z13">
        <f t="shared" si="3"/>
        <v>4.5</v>
      </c>
    </row>
    <row r="14" spans="1:26" x14ac:dyDescent="0.25">
      <c r="A14">
        <v>6</v>
      </c>
      <c r="B14">
        <v>150</v>
      </c>
      <c r="C14">
        <v>6.62</v>
      </c>
      <c r="D14">
        <v>8.6199999999999992</v>
      </c>
      <c r="E14">
        <v>9.5</v>
      </c>
      <c r="F14">
        <v>0.5</v>
      </c>
      <c r="G14">
        <v>3</v>
      </c>
      <c r="H14">
        <v>0.27</v>
      </c>
      <c r="I14" t="s">
        <v>23</v>
      </c>
      <c r="J14">
        <v>0.5</v>
      </c>
      <c r="K14">
        <v>0.875</v>
      </c>
      <c r="L14">
        <v>5.39</v>
      </c>
      <c r="M14">
        <v>3.82</v>
      </c>
      <c r="N14">
        <v>1.57</v>
      </c>
      <c r="O14" t="s">
        <v>12</v>
      </c>
      <c r="P14" t="s">
        <v>13</v>
      </c>
      <c r="Q14" t="s">
        <v>25</v>
      </c>
      <c r="R14">
        <v>20</v>
      </c>
      <c r="S14">
        <v>4</v>
      </c>
      <c r="T14">
        <v>4.5</v>
      </c>
      <c r="U14">
        <v>0.13</v>
      </c>
      <c r="V14">
        <v>0.06</v>
      </c>
      <c r="W14">
        <f t="shared" si="0"/>
        <v>4.63</v>
      </c>
      <c r="X14">
        <f t="shared" si="1"/>
        <v>4.75</v>
      </c>
      <c r="Y14">
        <f t="shared" si="2"/>
        <v>4.75</v>
      </c>
      <c r="Z14">
        <f t="shared" si="3"/>
        <v>5</v>
      </c>
    </row>
    <row r="15" spans="1:26" x14ac:dyDescent="0.25">
      <c r="A15">
        <v>8</v>
      </c>
      <c r="B15">
        <v>200</v>
      </c>
      <c r="C15">
        <v>8.6199999999999992</v>
      </c>
      <c r="D15">
        <v>10.88</v>
      </c>
      <c r="E15">
        <v>11.75</v>
      </c>
      <c r="F15">
        <v>0.5</v>
      </c>
      <c r="G15">
        <v>3</v>
      </c>
      <c r="H15">
        <v>0.39</v>
      </c>
      <c r="I15" t="s">
        <v>23</v>
      </c>
      <c r="J15">
        <v>0.5</v>
      </c>
      <c r="K15">
        <v>0.875</v>
      </c>
      <c r="L15">
        <v>8.32</v>
      </c>
      <c r="M15">
        <v>6.07</v>
      </c>
      <c r="N15">
        <v>2.25</v>
      </c>
      <c r="O15" t="s">
        <v>12</v>
      </c>
      <c r="P15" t="s">
        <v>13</v>
      </c>
      <c r="Q15" t="s">
        <v>25</v>
      </c>
      <c r="R15">
        <v>20</v>
      </c>
      <c r="S15">
        <v>4.25</v>
      </c>
      <c r="T15">
        <v>4.75</v>
      </c>
      <c r="U15">
        <v>0.13</v>
      </c>
      <c r="V15">
        <v>0.06</v>
      </c>
      <c r="W15">
        <f t="shared" si="0"/>
        <v>4.88</v>
      </c>
      <c r="X15">
        <f t="shared" si="1"/>
        <v>5</v>
      </c>
      <c r="Y15">
        <f t="shared" si="2"/>
        <v>5</v>
      </c>
      <c r="Z15">
        <f t="shared" si="3"/>
        <v>5.25</v>
      </c>
    </row>
    <row r="16" spans="1:26" x14ac:dyDescent="0.25">
      <c r="A16">
        <v>10</v>
      </c>
      <c r="B16">
        <v>250</v>
      </c>
      <c r="C16">
        <v>10.75</v>
      </c>
      <c r="D16">
        <v>13.25</v>
      </c>
      <c r="E16">
        <v>14.25</v>
      </c>
      <c r="F16">
        <v>0.62</v>
      </c>
      <c r="G16">
        <v>4</v>
      </c>
      <c r="H16">
        <v>0.47</v>
      </c>
      <c r="I16" t="s">
        <v>23</v>
      </c>
      <c r="J16">
        <v>0.5</v>
      </c>
      <c r="K16">
        <v>1</v>
      </c>
      <c r="L16">
        <v>15.04</v>
      </c>
      <c r="M16">
        <v>11.19</v>
      </c>
      <c r="N16">
        <v>3.84</v>
      </c>
      <c r="O16" t="s">
        <v>12</v>
      </c>
      <c r="P16" t="s">
        <v>13</v>
      </c>
      <c r="Q16" t="s">
        <v>31</v>
      </c>
      <c r="R16">
        <v>24</v>
      </c>
      <c r="S16">
        <v>4.5</v>
      </c>
      <c r="T16">
        <v>5</v>
      </c>
      <c r="U16">
        <v>0.13</v>
      </c>
      <c r="V16">
        <v>0.06</v>
      </c>
      <c r="W16">
        <f t="shared" si="0"/>
        <v>5.25</v>
      </c>
      <c r="X16">
        <f t="shared" si="1"/>
        <v>5.37</v>
      </c>
      <c r="Y16">
        <f t="shared" si="2"/>
        <v>5.5</v>
      </c>
      <c r="Z16">
        <f t="shared" si="3"/>
        <v>5.5</v>
      </c>
    </row>
    <row r="17" spans="1:26" x14ac:dyDescent="0.25">
      <c r="A17">
        <v>12</v>
      </c>
      <c r="B17">
        <v>300</v>
      </c>
      <c r="C17">
        <v>12.75</v>
      </c>
      <c r="D17">
        <v>16</v>
      </c>
      <c r="E17">
        <v>17</v>
      </c>
      <c r="F17">
        <v>0.75</v>
      </c>
      <c r="G17">
        <v>4</v>
      </c>
      <c r="H17">
        <v>0.59</v>
      </c>
      <c r="I17" t="s">
        <v>23</v>
      </c>
      <c r="J17">
        <v>0.5</v>
      </c>
      <c r="K17">
        <v>1</v>
      </c>
      <c r="L17">
        <v>26.95</v>
      </c>
      <c r="M17">
        <v>19.77</v>
      </c>
      <c r="N17">
        <v>7.18</v>
      </c>
      <c r="O17" t="s">
        <v>12</v>
      </c>
      <c r="P17" t="s">
        <v>13</v>
      </c>
      <c r="Q17" t="s">
        <v>31</v>
      </c>
      <c r="R17">
        <v>24</v>
      </c>
      <c r="S17">
        <v>4.75</v>
      </c>
      <c r="T17">
        <v>5.25</v>
      </c>
      <c r="U17">
        <v>0.13</v>
      </c>
      <c r="V17">
        <v>0.06</v>
      </c>
      <c r="W17">
        <f t="shared" si="0"/>
        <v>5.63</v>
      </c>
      <c r="X17">
        <f t="shared" si="1"/>
        <v>5.75</v>
      </c>
      <c r="Y17">
        <f t="shared" si="2"/>
        <v>5.75</v>
      </c>
      <c r="Z17">
        <f t="shared" si="3"/>
        <v>6</v>
      </c>
    </row>
    <row r="18" spans="1:26" x14ac:dyDescent="0.25">
      <c r="A18">
        <v>14</v>
      </c>
      <c r="B18">
        <v>350</v>
      </c>
      <c r="C18">
        <v>14</v>
      </c>
      <c r="D18">
        <v>17.62</v>
      </c>
      <c r="E18">
        <v>18.75</v>
      </c>
      <c r="F18">
        <v>0.75</v>
      </c>
      <c r="G18">
        <v>4.25</v>
      </c>
      <c r="H18">
        <v>0.59</v>
      </c>
      <c r="I18" t="s">
        <v>23</v>
      </c>
      <c r="J18">
        <v>0.5</v>
      </c>
      <c r="K18">
        <v>1.125</v>
      </c>
      <c r="L18">
        <v>32.94</v>
      </c>
      <c r="M18">
        <v>24.07</v>
      </c>
      <c r="N18">
        <v>8.8699999999999992</v>
      </c>
      <c r="O18" t="s">
        <v>12</v>
      </c>
      <c r="P18" t="s">
        <v>13</v>
      </c>
      <c r="Q18">
        <v>1</v>
      </c>
      <c r="R18">
        <v>27</v>
      </c>
      <c r="S18">
        <v>5.25</v>
      </c>
      <c r="T18">
        <v>5.75</v>
      </c>
      <c r="U18">
        <v>0.13</v>
      </c>
      <c r="V18">
        <v>0.06</v>
      </c>
      <c r="W18">
        <f t="shared" si="0"/>
        <v>6.13</v>
      </c>
      <c r="X18">
        <f t="shared" si="1"/>
        <v>6.25</v>
      </c>
      <c r="Y18">
        <f t="shared" si="2"/>
        <v>6.25</v>
      </c>
      <c r="Z18">
        <f t="shared" si="3"/>
        <v>6.5</v>
      </c>
    </row>
    <row r="19" spans="1:26" x14ac:dyDescent="0.25">
      <c r="A19">
        <v>16</v>
      </c>
      <c r="B19">
        <v>400</v>
      </c>
      <c r="C19">
        <v>16</v>
      </c>
      <c r="D19">
        <v>20.12</v>
      </c>
      <c r="E19">
        <v>21.25</v>
      </c>
      <c r="F19">
        <v>0.88</v>
      </c>
      <c r="G19">
        <v>4.25</v>
      </c>
      <c r="H19">
        <v>0.67</v>
      </c>
      <c r="I19" t="s">
        <v>23</v>
      </c>
      <c r="J19">
        <v>0.5</v>
      </c>
      <c r="K19">
        <v>1.125</v>
      </c>
      <c r="L19">
        <v>50.27</v>
      </c>
      <c r="M19">
        <v>36.729999999999997</v>
      </c>
      <c r="N19">
        <v>13.54</v>
      </c>
      <c r="O19" t="s">
        <v>12</v>
      </c>
      <c r="P19" t="s">
        <v>13</v>
      </c>
      <c r="Q19">
        <v>1</v>
      </c>
      <c r="R19">
        <v>27</v>
      </c>
      <c r="S19">
        <v>5.25</v>
      </c>
      <c r="T19">
        <v>5.75</v>
      </c>
      <c r="U19">
        <v>0.13</v>
      </c>
      <c r="V19">
        <v>0.06</v>
      </c>
      <c r="W19">
        <f t="shared" si="0"/>
        <v>6.26</v>
      </c>
      <c r="X19">
        <f t="shared" si="1"/>
        <v>6.38</v>
      </c>
      <c r="Y19">
        <f t="shared" si="2"/>
        <v>6.5</v>
      </c>
      <c r="Z19">
        <f t="shared" si="3"/>
        <v>6.5</v>
      </c>
    </row>
    <row r="20" spans="1:26" x14ac:dyDescent="0.25">
      <c r="A20">
        <v>18</v>
      </c>
      <c r="B20">
        <v>450</v>
      </c>
      <c r="C20">
        <v>18</v>
      </c>
      <c r="D20">
        <v>21.5</v>
      </c>
      <c r="E20">
        <v>22.75</v>
      </c>
      <c r="F20">
        <v>1</v>
      </c>
      <c r="G20">
        <v>4.5</v>
      </c>
      <c r="H20">
        <v>0.78</v>
      </c>
      <c r="I20" t="s">
        <v>23</v>
      </c>
      <c r="J20">
        <v>0.5</v>
      </c>
      <c r="K20">
        <v>1.25</v>
      </c>
      <c r="L20">
        <v>61.79</v>
      </c>
      <c r="M20">
        <v>47.55</v>
      </c>
      <c r="N20">
        <v>14.23</v>
      </c>
      <c r="O20" t="s">
        <v>12</v>
      </c>
      <c r="P20" t="s">
        <v>13</v>
      </c>
      <c r="Q20" t="s">
        <v>32</v>
      </c>
      <c r="R20">
        <v>30</v>
      </c>
      <c r="S20">
        <v>5.75</v>
      </c>
      <c r="T20">
        <v>6.25</v>
      </c>
      <c r="U20">
        <v>0.13</v>
      </c>
      <c r="V20">
        <v>0.06</v>
      </c>
      <c r="W20">
        <f t="shared" si="0"/>
        <v>6.88</v>
      </c>
      <c r="X20">
        <f t="shared" si="1"/>
        <v>7</v>
      </c>
      <c r="Y20">
        <f t="shared" si="2"/>
        <v>7</v>
      </c>
      <c r="Z20">
        <f t="shared" si="3"/>
        <v>7.25</v>
      </c>
    </row>
    <row r="21" spans="1:26" x14ac:dyDescent="0.25">
      <c r="A21">
        <v>20</v>
      </c>
      <c r="B21">
        <v>500</v>
      </c>
      <c r="C21">
        <v>20</v>
      </c>
      <c r="D21">
        <v>23.75</v>
      </c>
      <c r="E21">
        <v>25</v>
      </c>
      <c r="F21">
        <v>1.1200000000000001</v>
      </c>
      <c r="G21">
        <v>4.75</v>
      </c>
      <c r="H21">
        <v>0.86</v>
      </c>
      <c r="I21" t="s">
        <v>23</v>
      </c>
      <c r="J21">
        <v>0.5</v>
      </c>
      <c r="K21">
        <v>1.25</v>
      </c>
      <c r="L21">
        <v>83.67</v>
      </c>
      <c r="M21">
        <v>64.849999999999994</v>
      </c>
      <c r="N21">
        <v>18.82</v>
      </c>
      <c r="O21" t="s">
        <v>12</v>
      </c>
      <c r="P21" t="s">
        <v>13</v>
      </c>
      <c r="Q21" t="s">
        <v>32</v>
      </c>
      <c r="R21">
        <v>30</v>
      </c>
      <c r="S21">
        <v>6.25</v>
      </c>
      <c r="T21">
        <v>6.75</v>
      </c>
      <c r="U21">
        <v>0.13</v>
      </c>
      <c r="V21">
        <v>0.06</v>
      </c>
      <c r="W21">
        <f t="shared" si="0"/>
        <v>7.5</v>
      </c>
      <c r="X21">
        <f t="shared" si="1"/>
        <v>7.62</v>
      </c>
      <c r="Y21">
        <f t="shared" si="2"/>
        <v>7.75</v>
      </c>
      <c r="Z21">
        <f t="shared" si="3"/>
        <v>7.75</v>
      </c>
    </row>
    <row r="22" spans="1:26" x14ac:dyDescent="0.25">
      <c r="A22">
        <v>22</v>
      </c>
      <c r="B22">
        <v>550</v>
      </c>
      <c r="C22" t="s">
        <v>24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 t="s">
        <v>24</v>
      </c>
      <c r="W22" t="s">
        <v>24</v>
      </c>
      <c r="X22" t="s">
        <v>24</v>
      </c>
      <c r="Y22" t="s">
        <v>24</v>
      </c>
      <c r="Z22" t="s">
        <v>24</v>
      </c>
    </row>
    <row r="23" spans="1:26" x14ac:dyDescent="0.25">
      <c r="A23">
        <v>24</v>
      </c>
      <c r="B23">
        <v>600</v>
      </c>
      <c r="C23">
        <v>24</v>
      </c>
      <c r="D23">
        <v>28.12</v>
      </c>
      <c r="E23">
        <v>29.5</v>
      </c>
      <c r="F23">
        <v>1.25</v>
      </c>
      <c r="G23">
        <v>5.5</v>
      </c>
      <c r="H23">
        <v>0.94</v>
      </c>
      <c r="I23" t="s">
        <v>23</v>
      </c>
      <c r="J23">
        <v>0.5</v>
      </c>
      <c r="K23">
        <v>1.375</v>
      </c>
      <c r="L23">
        <v>129.30000000000001</v>
      </c>
      <c r="M23">
        <v>101.8</v>
      </c>
      <c r="N23">
        <v>27.49</v>
      </c>
      <c r="O23" t="s">
        <v>12</v>
      </c>
      <c r="P23" t="s">
        <v>13</v>
      </c>
      <c r="Q23" t="s">
        <v>26</v>
      </c>
      <c r="R23">
        <v>33</v>
      </c>
      <c r="S23">
        <v>6.75</v>
      </c>
      <c r="T23">
        <v>7.25</v>
      </c>
      <c r="U23">
        <v>0.13</v>
      </c>
      <c r="V23">
        <v>0.06</v>
      </c>
      <c r="W23">
        <f t="shared" si="0"/>
        <v>8.1300000000000008</v>
      </c>
      <c r="X23">
        <f t="shared" si="1"/>
        <v>8.25</v>
      </c>
      <c r="Y23">
        <f t="shared" si="2"/>
        <v>8.25</v>
      </c>
      <c r="Z23">
        <f t="shared" si="3"/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Blnu1_1_150_Inches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JohnB</dc:creator>
  <cp:lastModifiedBy>JohnB</cp:lastModifiedBy>
  <dcterms:created xsi:type="dcterms:W3CDTF">2017-10-28T21:16:55Z</dcterms:created>
  <dcterms:modified xsi:type="dcterms:W3CDTF">2017-10-28T21:43:24Z</dcterms:modified>
</cp:coreProperties>
</file>